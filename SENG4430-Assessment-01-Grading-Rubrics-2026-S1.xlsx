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defaultThemeVersion="124226"/>
  <mc:AlternateContent xmlns:mc="http://schemas.openxmlformats.org/markup-compatibility/2006">
    <mc:Choice Requires="x15">
      <x15ac:absPath xmlns:x15ac="http://schemas.microsoft.com/office/spreadsheetml/2010/11/ac" url="C:\Users\ADRIAN\Desktop\Syncthing\Shared-Folders\Sync-All-PCs\Work\SENG4430-2026-S1\Assessments\Assessment-01\Manuals\"/>
    </mc:Choice>
  </mc:AlternateContent>
  <xr:revisionPtr revIDLastSave="0" documentId="13_ncr:1_{569F4882-E540-4F51-AE3B-02FF041361E5}" xr6:coauthVersionLast="47" xr6:coauthVersionMax="47" xr10:uidLastSave="{00000000-0000-0000-0000-000000000000}"/>
  <bookViews>
    <workbookView xWindow="15252" yWindow="12600" windowWidth="30924" windowHeight="12696" xr2:uid="{00000000-000D-0000-FFFF-FFFF00000000}"/>
  </bookViews>
  <sheets>
    <sheet name="Grade" sheetId="1" r:id="rId1"/>
    <sheet name="Raw"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98" i="1" l="1"/>
  <c r="C98" i="1"/>
  <c r="F84" i="1"/>
  <c r="C84" i="1"/>
  <c r="F90" i="1"/>
  <c r="C90" i="1"/>
  <c r="F85" i="1"/>
  <c r="C85" i="1"/>
  <c r="C77" i="1"/>
  <c r="F60" i="1"/>
  <c r="C60" i="1"/>
  <c r="F73" i="1"/>
  <c r="F70" i="1"/>
  <c r="F67" i="1"/>
  <c r="F64" i="1"/>
  <c r="F61" i="1"/>
  <c r="C61" i="1"/>
  <c r="F34" i="1"/>
  <c r="C34" i="1"/>
  <c r="F51" i="1"/>
  <c r="F47" i="1"/>
  <c r="F43" i="1"/>
  <c r="F39" i="1"/>
  <c r="F35" i="1"/>
  <c r="C51" i="1"/>
  <c r="C47" i="1"/>
  <c r="C43" i="1"/>
  <c r="C39" i="1"/>
  <c r="C35" i="1"/>
  <c r="F11" i="1"/>
  <c r="C11" i="1"/>
  <c r="C18" i="1"/>
  <c r="C22" i="1"/>
  <c r="C26" i="1"/>
  <c r="F26" i="1"/>
  <c r="F22" i="1"/>
  <c r="F18" i="1"/>
  <c r="F12" i="1"/>
  <c r="C12" i="1"/>
  <c r="F6" i="1"/>
  <c r="C6" i="1"/>
  <c r="E31" i="1"/>
  <c r="F31" i="1" s="1"/>
  <c r="E81" i="1"/>
  <c r="F81" i="1" s="1"/>
  <c r="E46" i="1" l="1"/>
  <c r="F46" i="1" s="1"/>
  <c r="E45" i="1"/>
  <c r="F45" i="1" s="1"/>
  <c r="E44" i="1"/>
  <c r="F44" i="1" s="1"/>
  <c r="E42" i="1"/>
  <c r="F42" i="1" s="1"/>
  <c r="E41" i="1"/>
  <c r="F41" i="1" s="1"/>
  <c r="E40" i="1"/>
  <c r="F40" i="1" s="1"/>
  <c r="E52" i="1" l="1"/>
  <c r="F52" i="1" s="1"/>
  <c r="E53" i="1"/>
  <c r="F53" i="1" s="1"/>
  <c r="E54" i="1"/>
  <c r="F54" i="1" s="1"/>
  <c r="E55" i="1"/>
  <c r="F55" i="1" s="1"/>
  <c r="E56" i="1"/>
  <c r="F56" i="1" s="1"/>
  <c r="E57" i="1"/>
  <c r="F57" i="1" s="1"/>
  <c r="E58" i="1"/>
  <c r="F58" i="1" s="1"/>
  <c r="E50" i="1"/>
  <c r="F50" i="1" s="1"/>
  <c r="E49" i="1"/>
  <c r="F49" i="1" s="1"/>
  <c r="E48" i="1"/>
  <c r="F48" i="1" s="1"/>
  <c r="E36" i="1"/>
  <c r="F36" i="1" s="1"/>
  <c r="E37" i="1"/>
  <c r="F37" i="1" s="1"/>
  <c r="E38" i="1"/>
  <c r="F38" i="1" s="1"/>
  <c r="E25" i="1"/>
  <c r="F25" i="1" s="1"/>
  <c r="E24" i="1"/>
  <c r="F24" i="1" s="1"/>
  <c r="E23" i="1"/>
  <c r="F23" i="1" s="1"/>
  <c r="E13" i="1"/>
  <c r="F13" i="1" s="1"/>
  <c r="E14" i="1"/>
  <c r="F14" i="1" s="1"/>
  <c r="E15" i="1"/>
  <c r="F15" i="1" s="1"/>
  <c r="E16" i="1"/>
  <c r="F16" i="1" s="1"/>
  <c r="E17" i="1"/>
  <c r="F17" i="1" s="1"/>
  <c r="E19" i="1"/>
  <c r="F19" i="1" s="1"/>
  <c r="E20" i="1"/>
  <c r="F20" i="1" s="1"/>
  <c r="E21" i="1"/>
  <c r="F21" i="1" s="1"/>
  <c r="E27" i="1"/>
  <c r="F27" i="1" s="1"/>
  <c r="E28" i="1"/>
  <c r="F28" i="1" s="1"/>
  <c r="E29" i="1"/>
  <c r="F29" i="1" s="1"/>
  <c r="E30" i="1"/>
  <c r="F30" i="1" s="1"/>
  <c r="E32" i="1"/>
  <c r="F32" i="1" s="1"/>
  <c r="E94" i="1"/>
  <c r="F94" i="1" s="1"/>
  <c r="E93" i="1"/>
  <c r="F93" i="1" s="1"/>
  <c r="E92" i="1"/>
  <c r="F92" i="1" s="1"/>
  <c r="E91" i="1"/>
  <c r="F91" i="1" s="1"/>
  <c r="E86" i="1"/>
  <c r="F86" i="1" s="1"/>
  <c r="E87" i="1"/>
  <c r="F87" i="1" s="1"/>
  <c r="E88" i="1"/>
  <c r="F88" i="1" s="1"/>
  <c r="E89" i="1"/>
  <c r="F89" i="1" s="1"/>
  <c r="C73" i="1"/>
  <c r="E75" i="1"/>
  <c r="F75" i="1" s="1"/>
  <c r="E74" i="1"/>
  <c r="F74" i="1" s="1"/>
  <c r="E72" i="1"/>
  <c r="F72" i="1" s="1"/>
  <c r="E71" i="1"/>
  <c r="F71" i="1" s="1"/>
  <c r="C70" i="1"/>
  <c r="E69" i="1"/>
  <c r="F69" i="1" s="1"/>
  <c r="E68" i="1"/>
  <c r="F68" i="1" s="1"/>
  <c r="C67" i="1"/>
  <c r="E66" i="1"/>
  <c r="F66" i="1" s="1"/>
  <c r="E65" i="1"/>
  <c r="F65" i="1" s="1"/>
  <c r="C64" i="1"/>
  <c r="E62" i="1"/>
  <c r="F62" i="1" s="1"/>
  <c r="E63" i="1"/>
  <c r="F63" i="1" s="1"/>
  <c r="E79" i="1"/>
  <c r="E80" i="1"/>
  <c r="F80" i="1" s="1"/>
  <c r="E82" i="1"/>
  <c r="E78" i="1"/>
  <c r="F78" i="1" s="1"/>
  <c r="E8" i="1"/>
  <c r="E9" i="1"/>
  <c r="E7" i="1" l="1"/>
  <c r="F7" i="1" s="1"/>
  <c r="B23" i="2" l="1"/>
  <c r="B22" i="2"/>
  <c r="B21" i="2"/>
  <c r="B20" i="2"/>
  <c r="B19" i="2"/>
  <c r="B18" i="2"/>
  <c r="B17" i="2"/>
  <c r="B16" i="2"/>
  <c r="B15" i="2"/>
  <c r="B14" i="2"/>
  <c r="B13" i="2"/>
  <c r="B12" i="2"/>
  <c r="B11" i="2"/>
  <c r="B10" i="2"/>
  <c r="B9" i="2"/>
  <c r="B8" i="2"/>
  <c r="F9" i="1" l="1"/>
  <c r="F8" i="1"/>
  <c r="C100" i="1" l="1"/>
  <c r="F79" i="1" l="1"/>
  <c r="F77" i="1" s="1"/>
  <c r="F82" i="1"/>
  <c r="C3" i="1" l="1" a="1"/>
  <c r="C3" i="1" s="1"/>
  <c r="F100" i="1" l="1"/>
  <c r="F10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<sst xmlns="http://schemas.openxmlformats.org/spreadsheetml/2006/main" count="181" uniqueCount="94">
  <si>
    <t>Total marks (%)</t>
  </si>
  <si>
    <t>Name</t>
  </si>
  <si>
    <t>ID</t>
  </si>
  <si>
    <t>Status</t>
  </si>
  <si>
    <t>Final Total marks (%)</t>
  </si>
  <si>
    <t>Comments</t>
  </si>
  <si>
    <t>Student Mark</t>
  </si>
  <si>
    <t>Late Submissions in days</t>
  </si>
  <si>
    <t>Multiplier</t>
  </si>
  <si>
    <t>Group Contribution (0 to 1)</t>
  </si>
  <si>
    <t>SENG4430 Group Report</t>
  </si>
  <si>
    <t>System Design Document</t>
  </si>
  <si>
    <t>Evidence of Project Management</t>
  </si>
  <si>
    <r>
      <t xml:space="preserve">Note that all group members will generally receive the same grades. However, if there are significant group issues, please contact the course coordinator to request for an alternative grading scheme which distinguishes the group component represented by </t>
    </r>
    <r>
      <rPr>
        <b/>
        <sz val="12"/>
        <rFont val="Times New Roman"/>
        <family val="1"/>
      </rPr>
      <t>(G)</t>
    </r>
    <r>
      <rPr>
        <sz val="12"/>
        <rFont val="Times New Roman"/>
        <family val="1"/>
      </rPr>
      <t xml:space="preserve"> and the individual component represented by </t>
    </r>
    <r>
      <rPr>
        <b/>
        <sz val="12"/>
        <rFont val="Times New Roman"/>
        <family val="1"/>
      </rPr>
      <t>(I)</t>
    </r>
    <r>
      <rPr>
        <sz val="12"/>
        <rFont val="Times New Roman"/>
        <family val="1"/>
      </rPr>
      <t>.</t>
    </r>
  </si>
  <si>
    <t>Structure and coherence.</t>
  </si>
  <si>
    <t>Spelling and grammar.</t>
  </si>
  <si>
    <t>(G) Document Quality and Academic Literacy</t>
  </si>
  <si>
    <t>Detailed and complete system testing.</t>
  </si>
  <si>
    <t>(G) Quality Case Document</t>
  </si>
  <si>
    <t>Detailed and strong discussion for claim 1.</t>
  </si>
  <si>
    <t>Detailed and strong discussion for claim 2.</t>
  </si>
  <si>
    <t>Detailed and strong discussion for claim 3.</t>
  </si>
  <si>
    <t>Detailed and strong discussion for claim 4.</t>
  </si>
  <si>
    <t>Detailed and strong discussion for claim 5.</t>
  </si>
  <si>
    <r>
      <rPr>
        <b/>
        <sz val="11"/>
        <color theme="1"/>
        <rFont val="Calibri"/>
        <family val="2"/>
        <scheme val="minor"/>
      </rPr>
      <t>(G)</t>
    </r>
    <r>
      <rPr>
        <sz val="11"/>
        <color theme="1"/>
        <rFont val="Calibri"/>
        <family val="2"/>
        <scheme val="minor"/>
      </rPr>
      <t xml:space="preserve"> Complete and well-defined </t>
    </r>
    <r>
      <rPr>
        <b/>
        <sz val="11"/>
        <color theme="1"/>
        <rFont val="Calibri"/>
        <family val="2"/>
        <scheme val="minor"/>
      </rPr>
      <t>r</t>
    </r>
    <r>
      <rPr>
        <sz val="11"/>
        <color theme="1"/>
        <rFont val="Calibri"/>
        <family val="2"/>
        <scheme val="minor"/>
      </rPr>
      <t>equirements.</t>
    </r>
  </si>
  <si>
    <r>
      <rPr>
        <b/>
        <sz val="11"/>
        <color theme="1"/>
        <rFont val="Calibri"/>
        <family val="2"/>
        <scheme val="minor"/>
      </rPr>
      <t>(G)</t>
    </r>
    <r>
      <rPr>
        <sz val="11"/>
        <color theme="1"/>
        <rFont val="Calibri"/>
        <family val="2"/>
        <scheme val="minor"/>
      </rPr>
      <t xml:space="preserve"> Well-thought usage of system architecture.</t>
    </r>
  </si>
  <si>
    <r>
      <rPr>
        <b/>
        <sz val="11"/>
        <color theme="1"/>
        <rFont val="Calibri"/>
        <family val="2"/>
        <scheme val="minor"/>
      </rPr>
      <t>(G)</t>
    </r>
    <r>
      <rPr>
        <sz val="11"/>
        <color theme="1"/>
        <rFont val="Calibri"/>
        <family val="2"/>
        <scheme val="minor"/>
      </rPr>
      <t xml:space="preserve"> Complete and correct interface design.</t>
    </r>
  </si>
  <si>
    <t>Course Weighting (/30)</t>
  </si>
  <si>
    <t/>
  </si>
  <si>
    <t>Fulfilled</t>
  </si>
  <si>
    <t>Mostly Fulfilled</t>
  </si>
  <si>
    <t>Partially Fulfilled</t>
  </si>
  <si>
    <t>Slightly Fulfilled</t>
  </si>
  <si>
    <t>Not Fulfilled</t>
  </si>
  <si>
    <t>Correct claim 1.</t>
  </si>
  <si>
    <r>
      <rPr>
        <b/>
        <sz val="11"/>
        <color rgb="FFFF0000"/>
        <rFont val="Calibri"/>
        <family val="2"/>
        <scheme val="minor"/>
      </rPr>
      <t>(G)</t>
    </r>
    <r>
      <rPr>
        <sz val="11"/>
        <color rgb="FFFF0000"/>
        <rFont val="Calibri"/>
        <family val="2"/>
        <scheme val="minor"/>
      </rPr>
      <t xml:space="preserve"> Minutes of meetings.</t>
    </r>
  </si>
  <si>
    <r>
      <rPr>
        <b/>
        <sz val="11"/>
        <color rgb="FFFF0000"/>
        <rFont val="Calibri"/>
        <family val="2"/>
        <scheme val="minor"/>
      </rPr>
      <t xml:space="preserve">(G) </t>
    </r>
    <r>
      <rPr>
        <sz val="11"/>
        <color rgb="FFFF0000"/>
        <rFont val="Calibri"/>
        <family val="2"/>
        <scheme val="minor"/>
      </rPr>
      <t>Additional project management evidences.</t>
    </r>
  </si>
  <si>
    <r>
      <rPr>
        <b/>
        <sz val="11"/>
        <color rgb="FFFF0000"/>
        <rFont val="Calibri"/>
        <family val="2"/>
        <scheme val="minor"/>
      </rPr>
      <t>(G)</t>
    </r>
    <r>
      <rPr>
        <sz val="11"/>
        <color rgb="FFFF0000"/>
        <rFont val="Calibri"/>
        <family val="2"/>
        <scheme val="minor"/>
      </rPr>
      <t xml:space="preserve"> Demonstration of excellent software quality process.</t>
    </r>
  </si>
  <si>
    <t>Correct claim 2.</t>
  </si>
  <si>
    <t>Correct claim 3.</t>
  </si>
  <si>
    <t>Correct claim 4.</t>
  </si>
  <si>
    <t>Correct claim 5.</t>
  </si>
  <si>
    <r>
      <rPr>
        <b/>
        <sz val="11"/>
        <color rgb="FFFF0000"/>
        <rFont val="Calibri"/>
        <family val="2"/>
        <scheme val="minor"/>
      </rPr>
      <t xml:space="preserve">(G) </t>
    </r>
    <r>
      <rPr>
        <sz val="11"/>
        <color rgb="FFFF0000"/>
        <rFont val="Calibri"/>
        <family val="2"/>
        <scheme val="minor"/>
      </rPr>
      <t>Correct and functional tool.</t>
    </r>
  </si>
  <si>
    <t>(G) Test Plan</t>
  </si>
  <si>
    <t>Structure and coherence: System design document.</t>
  </si>
  <si>
    <t>Structure and coherence: Test plan.</t>
  </si>
  <si>
    <t>Structure and coherence: Quality case document.</t>
  </si>
  <si>
    <t>Structure and coherence: Evidence of project management.</t>
  </si>
  <si>
    <t>Spelling and grammar: System design document.</t>
  </si>
  <si>
    <t>Spelling and grammar: Test plan.</t>
  </si>
  <si>
    <t>Spelling and grammar: Quality case document.</t>
  </si>
  <si>
    <t>Spelling and grammar: Evidence of project management.</t>
  </si>
  <si>
    <t>System Design Overview: Stakeholders.</t>
  </si>
  <si>
    <t>System Design Overview: System use case.</t>
  </si>
  <si>
    <t>System Design Overview: Design description.</t>
  </si>
  <si>
    <t>System Design Overview: Viewpoint.</t>
  </si>
  <si>
    <t>System Design Overview: Design rationale.</t>
  </si>
  <si>
    <t>System architecture: Design description.</t>
  </si>
  <si>
    <t>System architecture: Viewpoint.</t>
  </si>
  <si>
    <t>System architecture: Design rationale.</t>
  </si>
  <si>
    <t>Interface design: Design description.</t>
  </si>
  <si>
    <t>Interface design: Viewpoint.</t>
  </si>
  <si>
    <t>Interface design: Design rationale.</t>
  </si>
  <si>
    <t>Exit criteria.</t>
  </si>
  <si>
    <t>Entry criteria.</t>
  </si>
  <si>
    <t>Areas to be tested.</t>
  </si>
  <si>
    <t>Testing overview.</t>
  </si>
  <si>
    <t>Testing strategy.</t>
  </si>
  <si>
    <t>Testing environment.</t>
  </si>
  <si>
    <t>System overview.</t>
  </si>
  <si>
    <t>Quality.</t>
  </si>
  <si>
    <t>Defect management.</t>
  </si>
  <si>
    <t>Risk &amp; issues.</t>
  </si>
  <si>
    <t>Comprehensive test plan.</t>
  </si>
  <si>
    <t>Detailed and complete unit &amp; component testing.</t>
  </si>
  <si>
    <t>Claim 1: Strong arguments with detailed evidence.</t>
  </si>
  <si>
    <t>Claim 2: Strong arguments with detailed evidence.</t>
  </si>
  <si>
    <t>Claim 3: Strong arguments with detailed evidence.</t>
  </si>
  <si>
    <t>Claim 4: Strong arguments with detailed evidence.</t>
  </si>
  <si>
    <t>Claim 5: Strong arguments with detailed evidence.</t>
  </si>
  <si>
    <t>Detailed and complete integration testing.</t>
  </si>
  <si>
    <t>Detailed and complete usability testing.</t>
  </si>
  <si>
    <r>
      <rPr>
        <b/>
        <sz val="11"/>
        <color theme="1"/>
        <rFont val="Calibri"/>
        <family val="2"/>
        <scheme val="minor"/>
      </rPr>
      <t>(I)</t>
    </r>
    <r>
      <rPr>
        <sz val="11"/>
        <color theme="1"/>
        <rFont val="Calibri"/>
        <family val="2"/>
        <scheme val="minor"/>
      </rPr>
      <t xml:space="preserve"> Detailed discussion and documentation of software quality metric.</t>
    </r>
  </si>
  <si>
    <t>Metric Design: Metric description.</t>
  </si>
  <si>
    <t>Metric Design: Viewpoint.</t>
  </si>
  <si>
    <t>Metric Design: Design rationale.</t>
  </si>
  <si>
    <t>Metric Design: Reporting.</t>
  </si>
  <si>
    <t>Metric Design: Testing regime.</t>
  </si>
  <si>
    <t>Evidence of anti-pattern analysis and necessary refactoring during viewpoint discussion.</t>
  </si>
  <si>
    <r>
      <rPr>
        <b/>
        <sz val="11"/>
        <color rgb="FFFF0000"/>
        <rFont val="Calibri"/>
        <family val="2"/>
        <scheme val="minor"/>
      </rPr>
      <t>(I)</t>
    </r>
    <r>
      <rPr>
        <sz val="11"/>
        <color rgb="FFFF0000"/>
        <rFont val="Calibri"/>
        <family val="2"/>
        <scheme val="minor"/>
      </rPr>
      <t xml:space="preserve"> Weekly contribution.</t>
    </r>
  </si>
  <si>
    <r>
      <rPr>
        <b/>
        <sz val="11"/>
        <color rgb="FFFF0000"/>
        <rFont val="Calibri"/>
        <family val="2"/>
        <scheme val="minor"/>
      </rPr>
      <t>(I)</t>
    </r>
    <r>
      <rPr>
        <sz val="11"/>
        <color rgb="FFFF0000"/>
        <rFont val="Calibri"/>
        <family val="2"/>
        <scheme val="minor"/>
      </rPr>
      <t xml:space="preserve"> Usability testing participation.</t>
    </r>
  </si>
  <si>
    <r>
      <rPr>
        <b/>
        <sz val="11"/>
        <color rgb="FFFF0000"/>
        <rFont val="Calibri"/>
        <family val="2"/>
        <scheme val="minor"/>
      </rPr>
      <t>(I)</t>
    </r>
    <r>
      <rPr>
        <sz val="11"/>
        <color rgb="FFFF0000"/>
        <rFont val="Calibri"/>
        <family val="2"/>
        <scheme val="minor"/>
      </rPr>
      <t xml:space="preserve"> Succesful Implementation of software quality metric.</t>
    </r>
  </si>
  <si>
    <t>Working Prototype (Graded in class)</t>
  </si>
  <si>
    <r>
      <rPr>
        <b/>
        <sz val="11"/>
        <color rgb="FFFF0000"/>
        <rFont val="Calibri"/>
        <family val="2"/>
        <scheme val="minor"/>
      </rPr>
      <t>(I)</t>
    </r>
    <r>
      <rPr>
        <sz val="11"/>
        <color rgb="FFFF0000"/>
        <rFont val="Calibri"/>
        <family val="2"/>
        <scheme val="minor"/>
      </rPr>
      <t xml:space="preserve"> Ability to self test.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</si>
</sst>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1"/>
      <color theme="1"/>
      <name val="Calibri"/>
      <family val="2"/>
      <scheme val="minor"/>
    </font>
    <font>
      <b/>
      <sz val="11"/>
      <color theme="1"/>
      <name val="Calibri"/>
      <family val="2"/>
      <scheme val="minor"/>
    </font>
    <font>
      <b/>
      <sz val="14"/>
      <color theme="1"/>
      <name val="Calibri"/>
      <family val="2"/>
      <scheme val="minor"/>
    </font>
    <font>
      <sz val="8"/>
      <name val="Calibri"/>
      <family val="2"/>
      <scheme val="minor"/>
    </font>
    <font>
      <sz val="12"/>
      <name val="Times New Roman"/>
      <family val="1"/>
    </font>
    <font>
      <b/>
      <sz val="12"/>
      <name val="Times New Roman"/>
      <family val="1"/>
    </font>
    <font>
      <sz val="11"/>
      <color theme="1"/>
      <name val="Calibri"/>
      <family val="2"/>
      <scheme val="minor"/>
    </font>
    <font>
      <sz val="11"/>
      <color rgb="FFFF0000"/>
      <name val="Calibri"/>
      <family val="2"/>
      <scheme val="minor"/>
    </font>
    <font>
      <b/>
      <sz val="11"/>
      <color rgb="FFFF0000"/>
      <name val="Calibri"/>
      <family val="2"/>
      <scheme val="minor"/>
    </font>
    <font>
      <sz val="11"/>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9" fontId="6" fillId="0" borderId="0" applyFont="0" applyFill="0" applyBorder="0" applyAlignment="0" applyProtection="0"/>
  </cellStyleXfs>
  <cellXfs count="29">
    <xf numFmtId="0" fontId="0" fillId="0" borderId="0" xfId="0"/>
    <xf numFmtId="0" fontId="1" fillId="0" borderId="0" xfId="0" applyFont="1" applyAlignment="1">
      <alignment horizontal="right"/>
    </xf>
    <xf numFmtId="0" fontId="1" fillId="0" borderId="0" xfId="0" applyFont="1"/>
    <xf numFmtId="0" fontId="0" fillId="0" borderId="0" xfId="0" applyAlignment="1">
      <alignment wrapText="1"/>
    </xf>
    <xf numFmtId="0" fontId="0" fillId="0" borderId="0" xfId="0" applyAlignment="1">
      <alignment horizontal="left" wrapText="1"/>
    </xf>
    <xf numFmtId="0" fontId="1" fillId="0" borderId="0" xfId="0" applyFont="1" applyAlignment="1">
      <alignment wrapText="1"/>
    </xf>
    <xf numFmtId="9" fontId="1" fillId="0" borderId="0" xfId="0" applyNumberFormat="1" applyFont="1"/>
    <xf numFmtId="0" fontId="0" fillId="0" borderId="0" xfId="0" applyAlignment="1">
      <alignment vertical="top"/>
    </xf>
    <xf numFmtId="0" fontId="4" fillId="0" borderId="0" xfId="0" applyFont="1" applyAlignment="1">
      <alignment horizontal="justify" vertical="center"/>
    </xf>
    <xf numFmtId="9" fontId="1" fillId="0" borderId="0" xfId="1" applyFont="1" applyAlignment="1">
      <alignment wrapText="1"/>
    </xf>
    <xf numFmtId="9" fontId="0" fillId="0" borderId="0" xfId="1" applyFont="1" applyAlignment="1">
      <alignment wrapText="1"/>
    </xf>
    <xf numFmtId="9" fontId="0" fillId="0" borderId="0" xfId="1" applyFont="1" applyAlignment="1">
      <alignment vertical="center" wrapText="1"/>
    </xf>
    <xf numFmtId="0" fontId="0" fillId="0" borderId="0" xfId="0" quotePrefix="1"/>
    <xf numFmtId="2" fontId="0" fillId="0" borderId="0" xfId="0" applyNumberFormat="1"/>
    <xf numFmtId="0" fontId="0" fillId="0" borderId="2" xfId="0" applyBorder="1"/>
    <xf numFmtId="0" fontId="7" fillId="0" borderId="0" xfId="0" applyFont="1" applyAlignment="1">
      <alignment wrapText="1"/>
    </xf>
    <xf numFmtId="0" fontId="7" fillId="0" borderId="1" xfId="0" applyFont="1" applyBorder="1"/>
    <xf numFmtId="0" fontId="7" fillId="0" borderId="0" xfId="0" applyFont="1"/>
    <xf numFmtId="0" fontId="0" fillId="0" borderId="3" xfId="0" applyBorder="1"/>
    <xf numFmtId="9" fontId="7" fillId="0" borderId="0" xfId="1" applyFont="1" applyAlignment="1">
      <alignment vertical="center" wrapText="1"/>
    </xf>
    <xf numFmtId="9" fontId="9" fillId="0" borderId="0" xfId="1" applyFont="1" applyAlignment="1">
      <alignment vertical="center" wrapText="1"/>
    </xf>
    <xf numFmtId="0" fontId="9" fillId="0" borderId="0" xfId="0" applyFont="1"/>
    <xf numFmtId="0" fontId="9" fillId="0" borderId="3" xfId="0" applyFont="1" applyBorder="1"/>
    <xf numFmtId="0" fontId="7" fillId="0" borderId="0" xfId="0" applyFont="1" applyAlignment="1">
      <alignment vertical="center" wrapText="1"/>
    </xf>
    <xf numFmtId="0" fontId="7" fillId="0" borderId="4" xfId="0" applyFont="1" applyBorder="1"/>
    <xf numFmtId="0" fontId="9" fillId="0" borderId="0" xfId="0" applyFont="1" applyAlignment="1">
      <alignment wrapText="1"/>
    </xf>
    <xf numFmtId="0" fontId="0" fillId="0" borderId="4" xfId="0" applyBorder="1"/>
    <xf numFmtId="9" fontId="7" fillId="0" borderId="0" xfId="1" applyFont="1" applyAlignment="1">
      <alignment wrapText="1"/>
    </xf>
    <xf numFmtId="0" fontId="2" fillId="0" borderId="0" xfId="0" applyFont="1" applyAlignment="1">
      <alignment horizontal="center"/>
    </xf>
  </cellXfs>
  <cellStyles count="2">
    <cellStyle name="Normal" xfId="0" builtinId="0"/>
    <cellStyle name="Percent" xfId="1" builtinId="5"/>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D48A4F56-2A75-4500-A751-1B045F7C4F9A}">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5"/>
  <sheetViews>
    <sheetView tabSelected="1" zoomScaleNormal="100" workbookViewId="0">
      <selection activeCell="G105" sqref="G105"/>
    </sheetView>
  </sheetViews>
  <sheetFormatPr defaultColWidth="8.77734375" defaultRowHeight="14.4" x14ac:dyDescent="0.3"/>
  <cols>
    <col min="1" max="1" width="3" style="7" bestFit="1" customWidth="1"/>
    <col min="2" max="2" width="87.44140625" style="3" customWidth="1"/>
    <col min="3" max="4" width="8.44140625" customWidth="1"/>
    <col min="5" max="5" width="8.88671875" bestFit="1" customWidth="1"/>
    <col min="6" max="6" width="11.77734375" bestFit="1" customWidth="1"/>
    <col min="7" max="7" width="74.33203125" bestFit="1" customWidth="1"/>
  </cols>
  <sheetData>
    <row r="1" spans="1:7" ht="18" x14ac:dyDescent="0.35">
      <c r="B1" s="28" t="s">
        <v>10</v>
      </c>
      <c r="C1" s="28"/>
      <c r="D1" s="28"/>
      <c r="E1" s="28"/>
      <c r="F1" s="28"/>
      <c r="G1" s="28"/>
    </row>
    <row r="3" spans="1:7" x14ac:dyDescent="0.3">
      <c r="B3" s="4" t="s">
        <v>1</v>
      </c>
      <c r="C3" t="str" cm="1">
        <f t="array" aca="1" ref="C3" ca="1">_xlfn.TEXTAFTER(_xlfn.TEXTBEFORE(CELL("filename"),".xlsx"),"[")</f>
        <v>SENG4430-Assessment-01-Grading-Rubrics-2026-S1</v>
      </c>
      <c r="G3" s="1"/>
    </row>
    <row r="4" spans="1:7" x14ac:dyDescent="0.3">
      <c r="B4" s="4" t="s">
        <v>2</v>
      </c>
      <c r="G4" s="2"/>
    </row>
    <row r="5" spans="1:7" x14ac:dyDescent="0.3">
      <c r="D5" t="s">
        <v>3</v>
      </c>
      <c r="E5" t="s">
        <v>8</v>
      </c>
      <c r="F5" t="s">
        <v>6</v>
      </c>
      <c r="G5" t="s">
        <v>5</v>
      </c>
    </row>
    <row r="6" spans="1:7" x14ac:dyDescent="0.3">
      <c r="B6" s="5" t="s">
        <v>92</v>
      </c>
      <c r="C6" s="2">
        <f>SUM(C7,C8,C9)</f>
        <v>20</v>
      </c>
      <c r="D6" s="2"/>
      <c r="E6" s="2"/>
      <c r="F6" s="2">
        <f>SUM(F7,F8,F9)</f>
        <v>0</v>
      </c>
    </row>
    <row r="7" spans="1:7" x14ac:dyDescent="0.3">
      <c r="A7" s="7">
        <v>1</v>
      </c>
      <c r="B7" s="23" t="s">
        <v>42</v>
      </c>
      <c r="C7" s="17">
        <v>4</v>
      </c>
      <c r="D7" s="16" t="s">
        <v>28</v>
      </c>
      <c r="E7" s="14">
        <f>VLOOKUP(D7,Raw!$A$2:$B$23,2,FALSE)</f>
        <v>0</v>
      </c>
      <c r="F7">
        <f>C7*E7</f>
        <v>0</v>
      </c>
    </row>
    <row r="8" spans="1:7" x14ac:dyDescent="0.3">
      <c r="A8" s="7">
        <v>2</v>
      </c>
      <c r="B8" s="15" t="s">
        <v>91</v>
      </c>
      <c r="C8" s="17">
        <v>8</v>
      </c>
      <c r="D8" s="16" t="s">
        <v>28</v>
      </c>
      <c r="E8" s="14">
        <f>VLOOKUP(D8,Raw!$A$2:$B$23,2,FALSE)</f>
        <v>0</v>
      </c>
      <c r="F8">
        <f t="shared" ref="F8" si="0">C8*E8</f>
        <v>0</v>
      </c>
    </row>
    <row r="9" spans="1:7" x14ac:dyDescent="0.3">
      <c r="A9" s="7">
        <v>5</v>
      </c>
      <c r="B9" s="23" t="s">
        <v>93</v>
      </c>
      <c r="C9" s="17">
        <v>8</v>
      </c>
      <c r="D9" s="16" t="s">
        <v>28</v>
      </c>
      <c r="E9" s="14">
        <f>VLOOKUP(D9,Raw!$A$2:$B$23,2,FALSE)</f>
        <v>0</v>
      </c>
      <c r="F9">
        <f t="shared" ref="F9" si="1">C9*E9</f>
        <v>0</v>
      </c>
    </row>
    <row r="11" spans="1:7" x14ac:dyDescent="0.3">
      <c r="B11" s="9" t="s">
        <v>11</v>
      </c>
      <c r="C11" s="2">
        <f>SUM(C12,C18,C22,C26)</f>
        <v>25</v>
      </c>
      <c r="D11" s="2"/>
      <c r="E11" s="2"/>
      <c r="F11" s="2">
        <f>SUM(F12,F18,F22,F26)</f>
        <v>0</v>
      </c>
    </row>
    <row r="12" spans="1:7" x14ac:dyDescent="0.3">
      <c r="A12" s="7">
        <v>1</v>
      </c>
      <c r="B12" s="10" t="s">
        <v>24</v>
      </c>
      <c r="C12">
        <f>SUM(C13:C17)</f>
        <v>4</v>
      </c>
      <c r="D12" s="18" t="s">
        <v>28</v>
      </c>
      <c r="F12">
        <f>SUM(F13:F17)</f>
        <v>0</v>
      </c>
    </row>
    <row r="13" spans="1:7" x14ac:dyDescent="0.3">
      <c r="B13" s="27" t="s">
        <v>52</v>
      </c>
      <c r="C13" s="17">
        <v>0.5</v>
      </c>
      <c r="D13" s="16" t="s">
        <v>28</v>
      </c>
      <c r="E13" s="14">
        <f>VLOOKUP(D13,Raw!$A$2:$B$23,2,FALSE)</f>
        <v>0</v>
      </c>
      <c r="F13">
        <f t="shared" ref="F13:F32" si="2">C13*E13</f>
        <v>0</v>
      </c>
    </row>
    <row r="14" spans="1:7" x14ac:dyDescent="0.3">
      <c r="B14" s="27" t="s">
        <v>53</v>
      </c>
      <c r="C14" s="17">
        <v>0.5</v>
      </c>
      <c r="D14" s="16" t="s">
        <v>28</v>
      </c>
      <c r="E14" s="14">
        <f>VLOOKUP(D14,Raw!$A$2:$B$23,2,FALSE)</f>
        <v>0</v>
      </c>
      <c r="F14">
        <f t="shared" si="2"/>
        <v>0</v>
      </c>
    </row>
    <row r="15" spans="1:7" x14ac:dyDescent="0.3">
      <c r="B15" s="27" t="s">
        <v>54</v>
      </c>
      <c r="C15" s="17">
        <v>1</v>
      </c>
      <c r="D15" s="16" t="s">
        <v>28</v>
      </c>
      <c r="E15" s="14">
        <f>VLOOKUP(D15,Raw!$A$2:$B$23,2,FALSE)</f>
        <v>0</v>
      </c>
      <c r="F15">
        <f t="shared" si="2"/>
        <v>0</v>
      </c>
    </row>
    <row r="16" spans="1:7" x14ac:dyDescent="0.3">
      <c r="B16" s="27" t="s">
        <v>55</v>
      </c>
      <c r="C16" s="17">
        <v>1</v>
      </c>
      <c r="D16" s="16" t="s">
        <v>28</v>
      </c>
      <c r="E16" s="14">
        <f>VLOOKUP(D16,Raw!$A$2:$B$23,2,FALSE)</f>
        <v>0</v>
      </c>
      <c r="F16">
        <f t="shared" si="2"/>
        <v>0</v>
      </c>
    </row>
    <row r="17" spans="1:6" x14ac:dyDescent="0.3">
      <c r="B17" s="27" t="s">
        <v>56</v>
      </c>
      <c r="C17" s="17">
        <v>1</v>
      </c>
      <c r="D17" s="16" t="s">
        <v>28</v>
      </c>
      <c r="E17" s="14">
        <f>VLOOKUP(D17,Raw!$A$2:$B$23,2,FALSE)</f>
        <v>0</v>
      </c>
      <c r="F17">
        <f t="shared" si="2"/>
        <v>0</v>
      </c>
    </row>
    <row r="18" spans="1:6" x14ac:dyDescent="0.3">
      <c r="A18" s="7">
        <v>2</v>
      </c>
      <c r="B18" s="10" t="s">
        <v>25</v>
      </c>
      <c r="C18">
        <f>SUM(C19:C21)</f>
        <v>4</v>
      </c>
      <c r="D18" s="26" t="s">
        <v>28</v>
      </c>
      <c r="F18">
        <f>SUM(F19:F21)</f>
        <v>0</v>
      </c>
    </row>
    <row r="19" spans="1:6" x14ac:dyDescent="0.3">
      <c r="B19" s="27" t="s">
        <v>57</v>
      </c>
      <c r="C19" s="17">
        <v>1</v>
      </c>
      <c r="D19" s="16" t="s">
        <v>28</v>
      </c>
      <c r="E19" s="14">
        <f>VLOOKUP(D19,Raw!$A$2:$B$23,2,FALSE)</f>
        <v>0</v>
      </c>
      <c r="F19">
        <f t="shared" si="2"/>
        <v>0</v>
      </c>
    </row>
    <row r="20" spans="1:6" x14ac:dyDescent="0.3">
      <c r="B20" s="27" t="s">
        <v>58</v>
      </c>
      <c r="C20" s="17">
        <v>2</v>
      </c>
      <c r="D20" s="16" t="s">
        <v>28</v>
      </c>
      <c r="E20" s="14">
        <f>VLOOKUP(D20,Raw!$A$2:$B$23,2,FALSE)</f>
        <v>0</v>
      </c>
      <c r="F20">
        <f t="shared" si="2"/>
        <v>0</v>
      </c>
    </row>
    <row r="21" spans="1:6" x14ac:dyDescent="0.3">
      <c r="B21" s="27" t="s">
        <v>59</v>
      </c>
      <c r="C21" s="17">
        <v>1</v>
      </c>
      <c r="D21" s="16" t="s">
        <v>28</v>
      </c>
      <c r="E21" s="14">
        <f>VLOOKUP(D21,Raw!$A$2:$B$23,2,FALSE)</f>
        <v>0</v>
      </c>
      <c r="F21">
        <f t="shared" si="2"/>
        <v>0</v>
      </c>
    </row>
    <row r="22" spans="1:6" x14ac:dyDescent="0.3">
      <c r="A22" s="7">
        <v>3</v>
      </c>
      <c r="B22" s="10" t="s">
        <v>26</v>
      </c>
      <c r="C22">
        <f>SUM(C23:C25)</f>
        <v>4</v>
      </c>
      <c r="D22" s="26" t="s">
        <v>28</v>
      </c>
      <c r="F22">
        <f>SUM(F23:F25)</f>
        <v>0</v>
      </c>
    </row>
    <row r="23" spans="1:6" x14ac:dyDescent="0.3">
      <c r="B23" s="27" t="s">
        <v>60</v>
      </c>
      <c r="C23" s="17">
        <v>1</v>
      </c>
      <c r="D23" s="16" t="s">
        <v>28</v>
      </c>
      <c r="E23" s="14">
        <f>VLOOKUP(D23,Raw!$A$2:$B$23,2,FALSE)</f>
        <v>0</v>
      </c>
      <c r="F23">
        <f>C23*E23</f>
        <v>0</v>
      </c>
    </row>
    <row r="24" spans="1:6" x14ac:dyDescent="0.3">
      <c r="B24" s="27" t="s">
        <v>61</v>
      </c>
      <c r="C24" s="17">
        <v>2</v>
      </c>
      <c r="D24" s="16" t="s">
        <v>28</v>
      </c>
      <c r="E24" s="14">
        <f>VLOOKUP(D24,Raw!$A$2:$B$23,2,FALSE)</f>
        <v>0</v>
      </c>
      <c r="F24">
        <f t="shared" ref="F24:F25" si="3">C24*E24</f>
        <v>0</v>
      </c>
    </row>
    <row r="25" spans="1:6" x14ac:dyDescent="0.3">
      <c r="B25" s="27" t="s">
        <v>62</v>
      </c>
      <c r="C25" s="17">
        <v>1</v>
      </c>
      <c r="D25" s="16" t="s">
        <v>28</v>
      </c>
      <c r="E25" s="14">
        <f>VLOOKUP(D25,Raw!$A$2:$B$23,2,FALSE)</f>
        <v>0</v>
      </c>
      <c r="F25">
        <f t="shared" si="3"/>
        <v>0</v>
      </c>
    </row>
    <row r="26" spans="1:6" x14ac:dyDescent="0.3">
      <c r="A26" s="7">
        <v>4</v>
      </c>
      <c r="B26" s="10" t="s">
        <v>82</v>
      </c>
      <c r="C26">
        <f>SUM(C27:C32)</f>
        <v>13</v>
      </c>
      <c r="D26" s="26" t="s">
        <v>28</v>
      </c>
      <c r="F26">
        <f>SUM(F27:F32)</f>
        <v>0</v>
      </c>
    </row>
    <row r="27" spans="1:6" x14ac:dyDescent="0.3">
      <c r="B27" s="27" t="s">
        <v>83</v>
      </c>
      <c r="C27" s="17">
        <v>2</v>
      </c>
      <c r="D27" s="16" t="s">
        <v>28</v>
      </c>
      <c r="E27" s="14">
        <f>VLOOKUP(D27,Raw!$A$2:$B$23,2,FALSE)</f>
        <v>0</v>
      </c>
      <c r="F27">
        <f t="shared" si="2"/>
        <v>0</v>
      </c>
    </row>
    <row r="28" spans="1:6" x14ac:dyDescent="0.3">
      <c r="B28" s="27" t="s">
        <v>84</v>
      </c>
      <c r="C28" s="17">
        <v>2</v>
      </c>
      <c r="D28" s="16" t="s">
        <v>28</v>
      </c>
      <c r="E28" s="14">
        <f>VLOOKUP(D28,Raw!$A$2:$B$23,2,FALSE)</f>
        <v>0</v>
      </c>
      <c r="F28">
        <f t="shared" si="2"/>
        <v>0</v>
      </c>
    </row>
    <row r="29" spans="1:6" x14ac:dyDescent="0.3">
      <c r="B29" s="27" t="s">
        <v>85</v>
      </c>
      <c r="C29" s="17">
        <v>2</v>
      </c>
      <c r="D29" s="16" t="s">
        <v>28</v>
      </c>
      <c r="E29" s="14">
        <f>VLOOKUP(D29,Raw!$A$2:$B$23,2,FALSE)</f>
        <v>0</v>
      </c>
      <c r="F29">
        <f t="shared" si="2"/>
        <v>0</v>
      </c>
    </row>
    <row r="30" spans="1:6" x14ac:dyDescent="0.3">
      <c r="B30" s="27" t="s">
        <v>86</v>
      </c>
      <c r="C30" s="17">
        <v>2</v>
      </c>
      <c r="D30" s="16" t="s">
        <v>28</v>
      </c>
      <c r="E30" s="14">
        <f>VLOOKUP(D30,Raw!$A$2:$B$23,2,FALSE)</f>
        <v>0</v>
      </c>
      <c r="F30">
        <f t="shared" si="2"/>
        <v>0</v>
      </c>
    </row>
    <row r="31" spans="1:6" x14ac:dyDescent="0.3">
      <c r="B31" s="27" t="s">
        <v>87</v>
      </c>
      <c r="C31" s="17">
        <v>2</v>
      </c>
      <c r="D31" s="16" t="s">
        <v>28</v>
      </c>
      <c r="E31" s="14">
        <f>VLOOKUP(D31,Raw!$A$2:$B$23,2,FALSE)</f>
        <v>0</v>
      </c>
      <c r="F31">
        <f t="shared" ref="F31" si="4">C31*E31</f>
        <v>0</v>
      </c>
    </row>
    <row r="32" spans="1:6" x14ac:dyDescent="0.3">
      <c r="B32" s="27" t="s">
        <v>88</v>
      </c>
      <c r="C32" s="17">
        <v>3</v>
      </c>
      <c r="D32" s="16" t="s">
        <v>28</v>
      </c>
      <c r="E32" s="14">
        <f>VLOOKUP(D32,Raw!$A$2:$B$23,2,FALSE)</f>
        <v>0</v>
      </c>
      <c r="F32">
        <f t="shared" si="2"/>
        <v>0</v>
      </c>
    </row>
    <row r="33" spans="1:6" x14ac:dyDescent="0.3">
      <c r="B33" s="10"/>
    </row>
    <row r="34" spans="1:6" x14ac:dyDescent="0.3">
      <c r="B34" s="9" t="s">
        <v>43</v>
      </c>
      <c r="C34" s="2">
        <f>SUM(C35,C39,C43,C47,C51)</f>
        <v>15</v>
      </c>
      <c r="D34" s="2"/>
      <c r="E34" s="2"/>
      <c r="F34" s="2">
        <f>SUM(F35,F39,F43,F47,F51)</f>
        <v>0</v>
      </c>
    </row>
    <row r="35" spans="1:6" x14ac:dyDescent="0.3">
      <c r="A35" s="7">
        <v>1</v>
      </c>
      <c r="B35" s="11" t="s">
        <v>74</v>
      </c>
      <c r="C35">
        <f>SUM(C36:C38)</f>
        <v>3</v>
      </c>
      <c r="D35" s="18" t="s">
        <v>28</v>
      </c>
      <c r="F35">
        <f>SUM(F36:F38)</f>
        <v>0</v>
      </c>
    </row>
    <row r="36" spans="1:6" x14ac:dyDescent="0.3">
      <c r="B36" s="19" t="s">
        <v>64</v>
      </c>
      <c r="C36" s="17">
        <v>0.5</v>
      </c>
      <c r="D36" s="16" t="s">
        <v>28</v>
      </c>
      <c r="E36" s="14">
        <f>VLOOKUP(D36,Raw!$A$2:$B$23,2,FALSE)</f>
        <v>0</v>
      </c>
      <c r="F36">
        <f t="shared" ref="F36:F38" si="5">C36*E36</f>
        <v>0</v>
      </c>
    </row>
    <row r="37" spans="1:6" x14ac:dyDescent="0.3">
      <c r="B37" s="19" t="s">
        <v>63</v>
      </c>
      <c r="C37" s="17">
        <v>0.5</v>
      </c>
      <c r="D37" s="16" t="s">
        <v>28</v>
      </c>
      <c r="E37" s="14">
        <f>VLOOKUP(D37,Raw!$A$2:$B$23,2,FALSE)</f>
        <v>0</v>
      </c>
      <c r="F37">
        <f t="shared" si="5"/>
        <v>0</v>
      </c>
    </row>
    <row r="38" spans="1:6" x14ac:dyDescent="0.3">
      <c r="B38" s="19" t="s">
        <v>65</v>
      </c>
      <c r="C38" s="17">
        <v>2</v>
      </c>
      <c r="D38" s="16" t="s">
        <v>28</v>
      </c>
      <c r="E38" s="14">
        <f>VLOOKUP(D38,Raw!$A$2:$B$23,2,FALSE)</f>
        <v>0</v>
      </c>
      <c r="F38">
        <f t="shared" si="5"/>
        <v>0</v>
      </c>
    </row>
    <row r="39" spans="1:6" x14ac:dyDescent="0.3">
      <c r="A39" s="7">
        <v>2</v>
      </c>
      <c r="B39" s="11" t="s">
        <v>80</v>
      </c>
      <c r="C39">
        <f>SUM(C40:C42)</f>
        <v>3</v>
      </c>
      <c r="D39" s="18" t="s">
        <v>28</v>
      </c>
      <c r="F39">
        <f>SUM(F40:F42)</f>
        <v>0</v>
      </c>
    </row>
    <row r="40" spans="1:6" x14ac:dyDescent="0.3">
      <c r="B40" s="19" t="s">
        <v>64</v>
      </c>
      <c r="C40" s="17">
        <v>0.5</v>
      </c>
      <c r="D40" s="16" t="s">
        <v>28</v>
      </c>
      <c r="E40" s="14">
        <f>VLOOKUP(D40,Raw!$A$2:$B$23,2,FALSE)</f>
        <v>0</v>
      </c>
      <c r="F40">
        <f>C40*E40</f>
        <v>0</v>
      </c>
    </row>
    <row r="41" spans="1:6" x14ac:dyDescent="0.3">
      <c r="B41" s="19" t="s">
        <v>63</v>
      </c>
      <c r="C41" s="17">
        <v>0.5</v>
      </c>
      <c r="D41" s="16" t="s">
        <v>28</v>
      </c>
      <c r="E41" s="14">
        <f>VLOOKUP(D41,Raw!$A$2:$B$23,2,FALSE)</f>
        <v>0</v>
      </c>
      <c r="F41">
        <f t="shared" ref="F41:F42" si="6">C41*E41</f>
        <v>0</v>
      </c>
    </row>
    <row r="42" spans="1:6" x14ac:dyDescent="0.3">
      <c r="B42" s="19" t="s">
        <v>65</v>
      </c>
      <c r="C42" s="17">
        <v>2</v>
      </c>
      <c r="D42" s="16" t="s">
        <v>28</v>
      </c>
      <c r="E42" s="14">
        <f>VLOOKUP(D42,Raw!$A$2:$B$23,2,FALSE)</f>
        <v>0</v>
      </c>
      <c r="F42">
        <f t="shared" si="6"/>
        <v>0</v>
      </c>
    </row>
    <row r="43" spans="1:6" x14ac:dyDescent="0.3">
      <c r="A43" s="7">
        <v>3</v>
      </c>
      <c r="B43" s="11" t="s">
        <v>17</v>
      </c>
      <c r="C43">
        <f>SUM(C44:C46)</f>
        <v>3</v>
      </c>
      <c r="D43" s="18" t="s">
        <v>28</v>
      </c>
      <c r="F43">
        <f>SUM(F44:F46)</f>
        <v>0</v>
      </c>
    </row>
    <row r="44" spans="1:6" x14ac:dyDescent="0.3">
      <c r="B44" s="19" t="s">
        <v>64</v>
      </c>
      <c r="C44" s="17">
        <v>0.5</v>
      </c>
      <c r="D44" s="16" t="s">
        <v>28</v>
      </c>
      <c r="E44" s="14">
        <f>VLOOKUP(D44,Raw!$A$2:$B$23,2,FALSE)</f>
        <v>0</v>
      </c>
      <c r="F44">
        <f>C44*E44</f>
        <v>0</v>
      </c>
    </row>
    <row r="45" spans="1:6" x14ac:dyDescent="0.3">
      <c r="B45" s="19" t="s">
        <v>63</v>
      </c>
      <c r="C45" s="17">
        <v>0.5</v>
      </c>
      <c r="D45" s="16" t="s">
        <v>28</v>
      </c>
      <c r="E45" s="14">
        <f>VLOOKUP(D45,Raw!$A$2:$B$23,2,FALSE)</f>
        <v>0</v>
      </c>
      <c r="F45">
        <f t="shared" ref="F45:F46" si="7">C45*E45</f>
        <v>0</v>
      </c>
    </row>
    <row r="46" spans="1:6" x14ac:dyDescent="0.3">
      <c r="B46" s="19" t="s">
        <v>65</v>
      </c>
      <c r="C46" s="17">
        <v>2</v>
      </c>
      <c r="D46" s="16" t="s">
        <v>28</v>
      </c>
      <c r="E46" s="14">
        <f>VLOOKUP(D46,Raw!$A$2:$B$23,2,FALSE)</f>
        <v>0</v>
      </c>
      <c r="F46">
        <f t="shared" si="7"/>
        <v>0</v>
      </c>
    </row>
    <row r="47" spans="1:6" x14ac:dyDescent="0.3">
      <c r="A47" s="7">
        <v>4</v>
      </c>
      <c r="B47" s="11" t="s">
        <v>81</v>
      </c>
      <c r="C47">
        <f>SUM(C48:C50)</f>
        <v>3</v>
      </c>
      <c r="D47" s="18" t="s">
        <v>28</v>
      </c>
      <c r="F47">
        <f>SUM(F48:F50)</f>
        <v>0</v>
      </c>
    </row>
    <row r="48" spans="1:6" x14ac:dyDescent="0.3">
      <c r="B48" s="19" t="s">
        <v>64</v>
      </c>
      <c r="C48" s="17">
        <v>0.5</v>
      </c>
      <c r="D48" s="16" t="s">
        <v>28</v>
      </c>
      <c r="E48" s="14">
        <f>VLOOKUP(D48,Raw!$A$2:$B$23,2,FALSE)</f>
        <v>0</v>
      </c>
      <c r="F48">
        <f>C48*E48</f>
        <v>0</v>
      </c>
    </row>
    <row r="49" spans="1:6" x14ac:dyDescent="0.3">
      <c r="B49" s="19" t="s">
        <v>63</v>
      </c>
      <c r="C49" s="17">
        <v>0.5</v>
      </c>
      <c r="D49" s="16" t="s">
        <v>28</v>
      </c>
      <c r="E49" s="14">
        <f>VLOOKUP(D49,Raw!$A$2:$B$23,2,FALSE)</f>
        <v>0</v>
      </c>
      <c r="F49">
        <f t="shared" ref="F49:F50" si="8">C49*E49</f>
        <v>0</v>
      </c>
    </row>
    <row r="50" spans="1:6" x14ac:dyDescent="0.3">
      <c r="B50" s="19" t="s">
        <v>65</v>
      </c>
      <c r="C50" s="17">
        <v>2</v>
      </c>
      <c r="D50" s="16" t="s">
        <v>28</v>
      </c>
      <c r="E50" s="14">
        <f>VLOOKUP(D50,Raw!$A$2:$B$23,2,FALSE)</f>
        <v>0</v>
      </c>
      <c r="F50">
        <f t="shared" si="8"/>
        <v>0</v>
      </c>
    </row>
    <row r="51" spans="1:6" x14ac:dyDescent="0.3">
      <c r="A51" s="7">
        <v>5</v>
      </c>
      <c r="B51" s="11" t="s">
        <v>73</v>
      </c>
      <c r="C51">
        <f>SUM(C52:C58)</f>
        <v>3</v>
      </c>
      <c r="D51" s="24" t="s">
        <v>28</v>
      </c>
      <c r="F51">
        <f>SUM(F52:F58)</f>
        <v>0</v>
      </c>
    </row>
    <row r="52" spans="1:6" x14ac:dyDescent="0.3">
      <c r="B52" s="19" t="s">
        <v>66</v>
      </c>
      <c r="C52" s="17">
        <v>0.4</v>
      </c>
      <c r="D52" s="16" t="s">
        <v>28</v>
      </c>
      <c r="E52" s="14">
        <f>VLOOKUP(D52,Raw!$A$2:$B$23,2,FALSE)</f>
        <v>0</v>
      </c>
      <c r="F52">
        <f t="shared" ref="F52:F58" si="9">C52*E52</f>
        <v>0</v>
      </c>
    </row>
    <row r="53" spans="1:6" x14ac:dyDescent="0.3">
      <c r="B53" s="19" t="s">
        <v>67</v>
      </c>
      <c r="C53" s="17">
        <v>0.5</v>
      </c>
      <c r="D53" s="16" t="s">
        <v>28</v>
      </c>
      <c r="E53" s="14">
        <f>VLOOKUP(D53,Raw!$A$2:$B$23,2,FALSE)</f>
        <v>0</v>
      </c>
      <c r="F53">
        <f t="shared" si="9"/>
        <v>0</v>
      </c>
    </row>
    <row r="54" spans="1:6" x14ac:dyDescent="0.3">
      <c r="B54" s="19" t="s">
        <v>68</v>
      </c>
      <c r="C54" s="17">
        <v>0.4</v>
      </c>
      <c r="D54" s="16" t="s">
        <v>28</v>
      </c>
      <c r="E54" s="14">
        <f>VLOOKUP(D54,Raw!$A$2:$B$23,2,FALSE)</f>
        <v>0</v>
      </c>
      <c r="F54">
        <f t="shared" si="9"/>
        <v>0</v>
      </c>
    </row>
    <row r="55" spans="1:6" x14ac:dyDescent="0.3">
      <c r="B55" s="19" t="s">
        <v>69</v>
      </c>
      <c r="C55" s="17">
        <v>0.4</v>
      </c>
      <c r="D55" s="16" t="s">
        <v>28</v>
      </c>
      <c r="E55" s="14">
        <f>VLOOKUP(D55,Raw!$A$2:$B$23,2,FALSE)</f>
        <v>0</v>
      </c>
      <c r="F55">
        <f t="shared" si="9"/>
        <v>0</v>
      </c>
    </row>
    <row r="56" spans="1:6" x14ac:dyDescent="0.3">
      <c r="B56" s="15" t="s">
        <v>70</v>
      </c>
      <c r="C56" s="17">
        <v>0.4</v>
      </c>
      <c r="D56" s="16" t="s">
        <v>28</v>
      </c>
      <c r="E56" s="14">
        <f>VLOOKUP(D56,Raw!$A$2:$B$23,2,FALSE)</f>
        <v>0</v>
      </c>
      <c r="F56">
        <f t="shared" si="9"/>
        <v>0</v>
      </c>
    </row>
    <row r="57" spans="1:6" x14ac:dyDescent="0.3">
      <c r="B57" s="19" t="s">
        <v>71</v>
      </c>
      <c r="C57" s="17">
        <v>0.4</v>
      </c>
      <c r="D57" s="16" t="s">
        <v>28</v>
      </c>
      <c r="E57" s="14">
        <f>VLOOKUP(D57,Raw!$A$2:$B$23,2,FALSE)</f>
        <v>0</v>
      </c>
      <c r="F57">
        <f t="shared" si="9"/>
        <v>0</v>
      </c>
    </row>
    <row r="58" spans="1:6" x14ac:dyDescent="0.3">
      <c r="B58" s="19" t="s">
        <v>72</v>
      </c>
      <c r="C58" s="17">
        <v>0.5</v>
      </c>
      <c r="D58" s="16" t="s">
        <v>28</v>
      </c>
      <c r="E58" s="14">
        <f>VLOOKUP(D58,Raw!$A$2:$B$23,2,FALSE)</f>
        <v>0</v>
      </c>
      <c r="F58">
        <f t="shared" si="9"/>
        <v>0</v>
      </c>
    </row>
    <row r="59" spans="1:6" x14ac:dyDescent="0.3">
      <c r="B59" s="11"/>
    </row>
    <row r="60" spans="1:6" s="2" customFormat="1" x14ac:dyDescent="0.3">
      <c r="A60" s="7"/>
      <c r="B60" s="9" t="s">
        <v>18</v>
      </c>
      <c r="C60" s="2">
        <f>SUM(C61,C64,C67,C70,C73)</f>
        <v>15</v>
      </c>
      <c r="F60" s="2">
        <f>SUM(F61,F64,F67,F70,F73)</f>
        <v>0</v>
      </c>
    </row>
    <row r="61" spans="1:6" s="2" customFormat="1" x14ac:dyDescent="0.3">
      <c r="A61" s="7">
        <v>1</v>
      </c>
      <c r="B61" s="20" t="s">
        <v>19</v>
      </c>
      <c r="C61" s="21">
        <f>SUM(C62:C63)</f>
        <v>3</v>
      </c>
      <c r="D61" s="22" t="s">
        <v>28</v>
      </c>
      <c r="E61"/>
      <c r="F61" s="21">
        <f>SUM(F62:F63)</f>
        <v>0</v>
      </c>
    </row>
    <row r="62" spans="1:6" s="2" customFormat="1" x14ac:dyDescent="0.3">
      <c r="A62" s="7"/>
      <c r="B62" s="19" t="s">
        <v>34</v>
      </c>
      <c r="C62" s="17">
        <v>0.5</v>
      </c>
      <c r="D62" s="16" t="s">
        <v>28</v>
      </c>
      <c r="E62" s="14">
        <f>VLOOKUP(D62,Raw!$A$2:$B$23,2,FALSE)</f>
        <v>0</v>
      </c>
      <c r="F62">
        <f>C62*E62</f>
        <v>0</v>
      </c>
    </row>
    <row r="63" spans="1:6" s="2" customFormat="1" x14ac:dyDescent="0.3">
      <c r="A63" s="7"/>
      <c r="B63" s="19" t="s">
        <v>75</v>
      </c>
      <c r="C63" s="17">
        <v>2.5</v>
      </c>
      <c r="D63" s="16" t="s">
        <v>28</v>
      </c>
      <c r="E63" s="14">
        <f>VLOOKUP(D63,Raw!$A$2:$B$23,2,FALSE)</f>
        <v>0</v>
      </c>
      <c r="F63">
        <f t="shared" ref="F63" si="10">C63*E63</f>
        <v>0</v>
      </c>
    </row>
    <row r="64" spans="1:6" s="2" customFormat="1" x14ac:dyDescent="0.3">
      <c r="A64" s="7">
        <v>2</v>
      </c>
      <c r="B64" s="20" t="s">
        <v>20</v>
      </c>
      <c r="C64" s="21">
        <f>SUM(C65:C66)</f>
        <v>3</v>
      </c>
      <c r="D64" s="22" t="s">
        <v>28</v>
      </c>
      <c r="E64"/>
      <c r="F64" s="21">
        <f>SUM(F65:F66)</f>
        <v>0</v>
      </c>
    </row>
    <row r="65" spans="1:6" s="2" customFormat="1" x14ac:dyDescent="0.3">
      <c r="A65" s="7"/>
      <c r="B65" s="19" t="s">
        <v>38</v>
      </c>
      <c r="C65" s="17">
        <v>0.5</v>
      </c>
      <c r="D65" s="16" t="s">
        <v>28</v>
      </c>
      <c r="E65" s="14">
        <f>VLOOKUP(D65,Raw!$A$2:$B$23,2,FALSE)</f>
        <v>0</v>
      </c>
      <c r="F65">
        <f>C65*E65</f>
        <v>0</v>
      </c>
    </row>
    <row r="66" spans="1:6" s="2" customFormat="1" x14ac:dyDescent="0.3">
      <c r="A66" s="7"/>
      <c r="B66" s="19" t="s">
        <v>76</v>
      </c>
      <c r="C66" s="17">
        <v>2.5</v>
      </c>
      <c r="D66" s="16" t="s">
        <v>28</v>
      </c>
      <c r="E66" s="14">
        <f>VLOOKUP(D66,Raw!$A$2:$B$23,2,FALSE)</f>
        <v>0</v>
      </c>
      <c r="F66">
        <f t="shared" ref="F66" si="11">C66*E66</f>
        <v>0</v>
      </c>
    </row>
    <row r="67" spans="1:6" s="2" customFormat="1" x14ac:dyDescent="0.3">
      <c r="A67" s="7">
        <v>3</v>
      </c>
      <c r="B67" s="20" t="s">
        <v>21</v>
      </c>
      <c r="C67" s="21">
        <f>SUM(C68:C69)</f>
        <v>3</v>
      </c>
      <c r="D67" s="22" t="s">
        <v>28</v>
      </c>
      <c r="E67"/>
      <c r="F67" s="21">
        <f>SUM(F68:F69)</f>
        <v>0</v>
      </c>
    </row>
    <row r="68" spans="1:6" s="2" customFormat="1" x14ac:dyDescent="0.3">
      <c r="A68" s="7"/>
      <c r="B68" s="19" t="s">
        <v>39</v>
      </c>
      <c r="C68" s="17">
        <v>0.5</v>
      </c>
      <c r="D68" s="16" t="s">
        <v>28</v>
      </c>
      <c r="E68" s="14">
        <f>VLOOKUP(D68,Raw!$A$2:$B$23,2,FALSE)</f>
        <v>0</v>
      </c>
      <c r="F68">
        <f>C68*E68</f>
        <v>0</v>
      </c>
    </row>
    <row r="69" spans="1:6" s="2" customFormat="1" x14ac:dyDescent="0.3">
      <c r="A69" s="7"/>
      <c r="B69" s="19" t="s">
        <v>77</v>
      </c>
      <c r="C69" s="17">
        <v>2.5</v>
      </c>
      <c r="D69" s="16" t="s">
        <v>28</v>
      </c>
      <c r="E69" s="14">
        <f>VLOOKUP(D69,Raw!$A$2:$B$23,2,FALSE)</f>
        <v>0</v>
      </c>
      <c r="F69">
        <f t="shared" ref="F69" si="12">C69*E69</f>
        <v>0</v>
      </c>
    </row>
    <row r="70" spans="1:6" s="2" customFormat="1" x14ac:dyDescent="0.3">
      <c r="A70" s="7">
        <v>4</v>
      </c>
      <c r="B70" s="20" t="s">
        <v>22</v>
      </c>
      <c r="C70" s="21">
        <f>SUM(C71:C72)</f>
        <v>3</v>
      </c>
      <c r="D70" s="22" t="s">
        <v>28</v>
      </c>
      <c r="E70"/>
      <c r="F70" s="21">
        <f>SUM(F71:F72)</f>
        <v>0</v>
      </c>
    </row>
    <row r="71" spans="1:6" s="2" customFormat="1" x14ac:dyDescent="0.3">
      <c r="A71" s="7"/>
      <c r="B71" s="19" t="s">
        <v>40</v>
      </c>
      <c r="C71" s="17">
        <v>0.5</v>
      </c>
      <c r="D71" s="16" t="s">
        <v>28</v>
      </c>
      <c r="E71" s="14">
        <f>VLOOKUP(D71,Raw!$A$2:$B$23,2,FALSE)</f>
        <v>0</v>
      </c>
      <c r="F71">
        <f>C71*E71</f>
        <v>0</v>
      </c>
    </row>
    <row r="72" spans="1:6" s="2" customFormat="1" x14ac:dyDescent="0.3">
      <c r="A72" s="7"/>
      <c r="B72" s="19" t="s">
        <v>78</v>
      </c>
      <c r="C72" s="17">
        <v>2.5</v>
      </c>
      <c r="D72" s="16" t="s">
        <v>28</v>
      </c>
      <c r="E72" s="14">
        <f>VLOOKUP(D72,Raw!$A$2:$B$23,2,FALSE)</f>
        <v>0</v>
      </c>
      <c r="F72">
        <f t="shared" ref="F72" si="13">C72*E72</f>
        <v>0</v>
      </c>
    </row>
    <row r="73" spans="1:6" s="2" customFormat="1" x14ac:dyDescent="0.3">
      <c r="A73" s="7">
        <v>5</v>
      </c>
      <c r="B73" s="20" t="s">
        <v>23</v>
      </c>
      <c r="C73" s="21">
        <f>SUM(C74:C75)</f>
        <v>3</v>
      </c>
      <c r="D73" s="22" t="s">
        <v>28</v>
      </c>
      <c r="E73"/>
      <c r="F73" s="21">
        <f>SUM(F74:F75)</f>
        <v>0</v>
      </c>
    </row>
    <row r="74" spans="1:6" s="2" customFormat="1" x14ac:dyDescent="0.3">
      <c r="A74" s="7"/>
      <c r="B74" s="19" t="s">
        <v>41</v>
      </c>
      <c r="C74" s="17">
        <v>0.5</v>
      </c>
      <c r="D74" s="16" t="s">
        <v>28</v>
      </c>
      <c r="E74" s="14">
        <f>VLOOKUP(D74,Raw!$A$2:$B$23,2,FALSE)</f>
        <v>0</v>
      </c>
      <c r="F74">
        <f>C74*E74</f>
        <v>0</v>
      </c>
    </row>
    <row r="75" spans="1:6" s="2" customFormat="1" x14ac:dyDescent="0.3">
      <c r="A75" s="7"/>
      <c r="B75" s="19" t="s">
        <v>79</v>
      </c>
      <c r="C75" s="17">
        <v>2.5</v>
      </c>
      <c r="D75" s="16" t="s">
        <v>28</v>
      </c>
      <c r="E75" s="14">
        <f>VLOOKUP(D75,Raw!$A$2:$B$23,2,FALSE)</f>
        <v>0</v>
      </c>
      <c r="F75">
        <f t="shared" ref="F75" si="14">C75*E75</f>
        <v>0</v>
      </c>
    </row>
    <row r="76" spans="1:6" s="2" customFormat="1" x14ac:dyDescent="0.3">
      <c r="A76" s="7"/>
      <c r="B76" s="11"/>
      <c r="C76"/>
      <c r="D76"/>
      <c r="E76"/>
      <c r="F76"/>
    </row>
    <row r="77" spans="1:6" s="2" customFormat="1" x14ac:dyDescent="0.3">
      <c r="A77" s="7"/>
      <c r="B77" s="9" t="s">
        <v>12</v>
      </c>
      <c r="C77" s="2">
        <f>SUM(C78,C79,C80,C81,C82)</f>
        <v>15</v>
      </c>
      <c r="F77" s="2">
        <f>SUM(F78,F79,F80,F81,F82)</f>
        <v>0</v>
      </c>
    </row>
    <row r="78" spans="1:6" s="2" customFormat="1" x14ac:dyDescent="0.3">
      <c r="A78" s="7">
        <v>1</v>
      </c>
      <c r="B78" s="19" t="s">
        <v>35</v>
      </c>
      <c r="C78" s="17">
        <v>2.5</v>
      </c>
      <c r="D78" s="16" t="s">
        <v>28</v>
      </c>
      <c r="E78" s="14">
        <f>VLOOKUP(D78,Raw!$A$2:$B$23,2,FALSE)</f>
        <v>0</v>
      </c>
      <c r="F78">
        <f>C78*E78</f>
        <v>0</v>
      </c>
    </row>
    <row r="79" spans="1:6" s="2" customFormat="1" x14ac:dyDescent="0.3">
      <c r="A79" s="7">
        <v>2</v>
      </c>
      <c r="B79" s="19" t="s">
        <v>36</v>
      </c>
      <c r="C79" s="17">
        <v>2.5</v>
      </c>
      <c r="D79" s="16" t="s">
        <v>28</v>
      </c>
      <c r="E79" s="14">
        <f>VLOOKUP(D79,Raw!$A$2:$B$23,2,FALSE)</f>
        <v>0</v>
      </c>
      <c r="F79">
        <f t="shared" ref="F79:F82" si="15">C79*E79</f>
        <v>0</v>
      </c>
    </row>
    <row r="80" spans="1:6" s="2" customFormat="1" x14ac:dyDescent="0.3">
      <c r="A80" s="7">
        <v>3</v>
      </c>
      <c r="B80" s="19" t="s">
        <v>37</v>
      </c>
      <c r="C80" s="17">
        <v>2.5</v>
      </c>
      <c r="D80" s="16" t="s">
        <v>28</v>
      </c>
      <c r="E80" s="14">
        <f>VLOOKUP(D80,Raw!$A$2:$B$23,2,FALSE)</f>
        <v>0</v>
      </c>
      <c r="F80">
        <f>C80*E80</f>
        <v>0</v>
      </c>
    </row>
    <row r="81" spans="1:6" s="2" customFormat="1" x14ac:dyDescent="0.3">
      <c r="A81" s="7">
        <v>4</v>
      </c>
      <c r="B81" s="19" t="s">
        <v>89</v>
      </c>
      <c r="C81" s="17">
        <v>5</v>
      </c>
      <c r="D81" s="16" t="s">
        <v>28</v>
      </c>
      <c r="E81" s="14">
        <f>VLOOKUP(D81,Raw!$A$2:$B$23,2,FALSE)</f>
        <v>0</v>
      </c>
      <c r="F81">
        <f>C81*E81</f>
        <v>0</v>
      </c>
    </row>
    <row r="82" spans="1:6" s="2" customFormat="1" x14ac:dyDescent="0.3">
      <c r="A82" s="7">
        <v>5</v>
      </c>
      <c r="B82" s="19" t="s">
        <v>90</v>
      </c>
      <c r="C82" s="17">
        <v>2.5</v>
      </c>
      <c r="D82" s="16" t="s">
        <v>28</v>
      </c>
      <c r="E82" s="14">
        <f>VLOOKUP(D82,Raw!$A$2:$B$23,2,FALSE)</f>
        <v>0</v>
      </c>
      <c r="F82">
        <f t="shared" si="15"/>
        <v>0</v>
      </c>
    </row>
    <row r="83" spans="1:6" x14ac:dyDescent="0.3">
      <c r="B83" s="5"/>
      <c r="C83" s="2"/>
      <c r="D83" s="2"/>
      <c r="E83" s="2"/>
      <c r="F83" s="2"/>
    </row>
    <row r="84" spans="1:6" x14ac:dyDescent="0.3">
      <c r="B84" s="5" t="s">
        <v>16</v>
      </c>
      <c r="C84" s="2">
        <f>SUM(C85,C90)</f>
        <v>10</v>
      </c>
      <c r="D84" s="2"/>
      <c r="E84" s="2"/>
      <c r="F84" s="2">
        <f>SUM(F85,F90)</f>
        <v>0</v>
      </c>
    </row>
    <row r="85" spans="1:6" x14ac:dyDescent="0.3">
      <c r="A85" s="7">
        <v>1</v>
      </c>
      <c r="B85" s="25" t="s">
        <v>14</v>
      </c>
      <c r="C85" s="21">
        <f>SUM(C86:C89)</f>
        <v>5</v>
      </c>
      <c r="D85" s="22"/>
      <c r="E85" s="21"/>
      <c r="F85" s="21">
        <f>SUM(F86:F89)</f>
        <v>0</v>
      </c>
    </row>
    <row r="86" spans="1:6" x14ac:dyDescent="0.3">
      <c r="B86" s="15" t="s">
        <v>44</v>
      </c>
      <c r="C86" s="17">
        <v>1.25</v>
      </c>
      <c r="D86" s="16" t="s">
        <v>28</v>
      </c>
      <c r="E86" s="14">
        <f>VLOOKUP(D86,Raw!$A$2:$B$23,2,FALSE)</f>
        <v>0</v>
      </c>
      <c r="F86">
        <f t="shared" ref="F86:F89" si="16">C86*E86</f>
        <v>0</v>
      </c>
    </row>
    <row r="87" spans="1:6" x14ac:dyDescent="0.3">
      <c r="B87" s="15" t="s">
        <v>45</v>
      </c>
      <c r="C87" s="17">
        <v>1.25</v>
      </c>
      <c r="D87" s="16" t="s">
        <v>28</v>
      </c>
      <c r="E87" s="14">
        <f>VLOOKUP(D87,Raw!$A$2:$B$23,2,FALSE)</f>
        <v>0</v>
      </c>
      <c r="F87">
        <f t="shared" si="16"/>
        <v>0</v>
      </c>
    </row>
    <row r="88" spans="1:6" x14ac:dyDescent="0.3">
      <c r="B88" s="15" t="s">
        <v>46</v>
      </c>
      <c r="C88" s="17">
        <v>1.25</v>
      </c>
      <c r="D88" s="16" t="s">
        <v>28</v>
      </c>
      <c r="E88" s="14">
        <f>VLOOKUP(D88,Raw!$A$2:$B$23,2,FALSE)</f>
        <v>0</v>
      </c>
      <c r="F88">
        <f t="shared" si="16"/>
        <v>0</v>
      </c>
    </row>
    <row r="89" spans="1:6" x14ac:dyDescent="0.3">
      <c r="B89" s="15" t="s">
        <v>47</v>
      </c>
      <c r="C89" s="17">
        <v>1.25</v>
      </c>
      <c r="D89" s="16" t="s">
        <v>28</v>
      </c>
      <c r="E89" s="14">
        <f>VLOOKUP(D89,Raw!$A$2:$B$23,2,FALSE)</f>
        <v>0</v>
      </c>
      <c r="F89">
        <f t="shared" si="16"/>
        <v>0</v>
      </c>
    </row>
    <row r="90" spans="1:6" x14ac:dyDescent="0.3">
      <c r="A90" s="7">
        <v>2</v>
      </c>
      <c r="B90" s="25" t="s">
        <v>15</v>
      </c>
      <c r="C90" s="21">
        <f>SUM(C91:C94)</f>
        <v>5</v>
      </c>
      <c r="D90" s="22"/>
      <c r="E90" s="21"/>
      <c r="F90" s="21">
        <f>SUM(F91:F94)</f>
        <v>0</v>
      </c>
    </row>
    <row r="91" spans="1:6" x14ac:dyDescent="0.3">
      <c r="B91" s="15" t="s">
        <v>48</v>
      </c>
      <c r="C91" s="17">
        <v>1.25</v>
      </c>
      <c r="D91" s="16" t="s">
        <v>28</v>
      </c>
      <c r="E91" s="14">
        <f>VLOOKUP(D91,Raw!$A$2:$B$23,2,FALSE)</f>
        <v>0</v>
      </c>
      <c r="F91">
        <f t="shared" ref="F91:F94" si="17">C91*E91</f>
        <v>0</v>
      </c>
    </row>
    <row r="92" spans="1:6" x14ac:dyDescent="0.3">
      <c r="B92" s="15" t="s">
        <v>49</v>
      </c>
      <c r="C92" s="17">
        <v>1.25</v>
      </c>
      <c r="D92" s="16" t="s">
        <v>28</v>
      </c>
      <c r="E92" s="14">
        <f>VLOOKUP(D92,Raw!$A$2:$B$23,2,FALSE)</f>
        <v>0</v>
      </c>
      <c r="F92">
        <f t="shared" si="17"/>
        <v>0</v>
      </c>
    </row>
    <row r="93" spans="1:6" x14ac:dyDescent="0.3">
      <c r="B93" s="15" t="s">
        <v>50</v>
      </c>
      <c r="C93" s="17">
        <v>1.25</v>
      </c>
      <c r="D93" s="16" t="s">
        <v>28</v>
      </c>
      <c r="E93" s="14">
        <f>VLOOKUP(D93,Raw!$A$2:$B$23,2,FALSE)</f>
        <v>0</v>
      </c>
      <c r="F93">
        <f t="shared" si="17"/>
        <v>0</v>
      </c>
    </row>
    <row r="94" spans="1:6" x14ac:dyDescent="0.3">
      <c r="B94" s="15" t="s">
        <v>51</v>
      </c>
      <c r="C94" s="17">
        <v>1.25</v>
      </c>
      <c r="D94" s="16" t="s">
        <v>28</v>
      </c>
      <c r="E94" s="14">
        <f>VLOOKUP(D94,Raw!$A$2:$B$23,2,FALSE)</f>
        <v>0</v>
      </c>
      <c r="F94">
        <f t="shared" si="17"/>
        <v>0</v>
      </c>
    </row>
    <row r="95" spans="1:6" x14ac:dyDescent="0.3">
      <c r="B95" s="5"/>
      <c r="C95" s="2"/>
      <c r="D95" s="2"/>
      <c r="E95" s="2"/>
      <c r="F95" s="2"/>
    </row>
    <row r="96" spans="1:6" x14ac:dyDescent="0.3">
      <c r="B96" s="15" t="s">
        <v>9</v>
      </c>
      <c r="E96" s="16">
        <v>1</v>
      </c>
    </row>
    <row r="97" spans="1:7" x14ac:dyDescent="0.3">
      <c r="B97" s="5"/>
      <c r="C97" s="2"/>
      <c r="D97" s="2"/>
      <c r="E97" s="2"/>
      <c r="F97" s="2"/>
    </row>
    <row r="98" spans="1:7" s="2" customFormat="1" x14ac:dyDescent="0.3">
      <c r="A98" s="7"/>
      <c r="B98" s="5" t="s">
        <v>0</v>
      </c>
      <c r="C98" s="2">
        <f>IF($E$96*SUM(C7,C12,C18,C22,C34,C60,C78,C79,C80,C84)+SUM(C8,C9,C26,C81,C82)&gt;100, 100, $E$96*SUM(C7,C12,C18,C22,C34,C60,C78,C79,C80,C84)+SUM(C8,C9,C26,C81,C82))</f>
        <v>100</v>
      </c>
      <c r="F98" s="2">
        <f>IF($E$96*SUM(F7,F12,F18,F22,F34,F60,F78,F79,F80,F84)+SUM(F8,F9,F26,F81,F82)&gt;100, 100, $E$96*SUM(F7,F12,F18,F22,F34,F60,F78,F79,F80,F84)+SUM(F8,F9,F26,F81,F82))</f>
        <v>0</v>
      </c>
    </row>
    <row r="99" spans="1:7" s="2" customFormat="1" x14ac:dyDescent="0.3">
      <c r="A99" s="7"/>
      <c r="B99" s="15" t="s">
        <v>7</v>
      </c>
      <c r="C99"/>
      <c r="D99"/>
      <c r="E99" s="16"/>
      <c r="F99"/>
      <c r="G99"/>
    </row>
    <row r="100" spans="1:7" s="2" customFormat="1" x14ac:dyDescent="0.3">
      <c r="A100" s="7"/>
      <c r="B100" s="5" t="s">
        <v>4</v>
      </c>
      <c r="C100" s="2">
        <f>IF($E$99&lt;=0, C98, (1-($E$99)*0.1)*C98)</f>
        <v>100</v>
      </c>
      <c r="E100"/>
      <c r="F100" s="2">
        <f>IF($E$99&lt;=0, F98, (1-($E$99)*0.1)*F98)</f>
        <v>0</v>
      </c>
      <c r="G100"/>
    </row>
    <row r="101" spans="1:7" s="2" customFormat="1" x14ac:dyDescent="0.3">
      <c r="A101" s="7"/>
      <c r="B101" s="3"/>
      <c r="C101"/>
      <c r="D101"/>
      <c r="E101"/>
      <c r="F101"/>
      <c r="G101"/>
    </row>
    <row r="102" spans="1:7" s="2" customFormat="1" x14ac:dyDescent="0.3">
      <c r="A102" s="7"/>
      <c r="B102" s="5" t="s">
        <v>27</v>
      </c>
      <c r="C102" s="6">
        <v>0.3</v>
      </c>
      <c r="D102" s="6"/>
      <c r="E102" s="6"/>
      <c r="F102" s="2">
        <f>F100*30/100</f>
        <v>0</v>
      </c>
    </row>
    <row r="105" spans="1:7" ht="62.4" x14ac:dyDescent="0.3">
      <c r="B105" s="8" t="s">
        <v>13</v>
      </c>
    </row>
  </sheetData>
  <dataConsolidate/>
  <mergeCells count="1">
    <mergeCell ref="B1:G1"/>
  </mergeCells>
  <phoneticPr fontId="3" type="noConversion"/>
  <pageMargins left="0.25" right="0.25"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9140AB2C-853E-47B6-855D-54E057A36C44}">
          <x14:formula1>
            <xm:f>Raw!$A$2:$A$22</xm:f>
          </x14:formula1>
          <xm:sqref>E76 E33</xm:sqref>
        </x14:dataValidation>
        <x14:dataValidation type="list" allowBlank="1" showInputMessage="1" showErrorMessage="1" xr:uid="{C9F76E54-AB0D-4174-8BAE-C6365D99486B}">
          <x14:formula1>
            <xm:f>Raw!$A$2:$A$23</xm:f>
          </x14:formula1>
          <xm:sqref>D91:D94 D74:D75 D44:D46 D62:D63 D65:D66 D68:D69 D71:D72 D86:D89 D13:D17 D23:D25 D19:D21 D52:D58 D48:D50 D36:D38 D40:D42 D78:D82 D27:D32 D7:D9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97C61-7BEC-4ED7-B533-17A2C51DD493}">
  <dimension ref="A1:B23"/>
  <sheetViews>
    <sheetView workbookViewId="0">
      <selection activeCell="E10" sqref="E10"/>
    </sheetView>
  </sheetViews>
  <sheetFormatPr defaultRowHeight="14.4" x14ac:dyDescent="0.3"/>
  <cols>
    <col min="1" max="1" width="14.44140625" bestFit="1" customWidth="1"/>
  </cols>
  <sheetData>
    <row r="1" spans="1:2" x14ac:dyDescent="0.3">
      <c r="A1" t="s">
        <v>3</v>
      </c>
      <c r="B1" t="s">
        <v>8</v>
      </c>
    </row>
    <row r="2" spans="1:2" x14ac:dyDescent="0.3">
      <c r="A2" s="12" t="s">
        <v>28</v>
      </c>
      <c r="B2" s="13">
        <v>0</v>
      </c>
    </row>
    <row r="3" spans="1:2" x14ac:dyDescent="0.3">
      <c r="A3" t="s">
        <v>29</v>
      </c>
      <c r="B3" s="13">
        <v>1</v>
      </c>
    </row>
    <row r="4" spans="1:2" x14ac:dyDescent="0.3">
      <c r="A4" t="s">
        <v>30</v>
      </c>
      <c r="B4" s="13">
        <v>0.75</v>
      </c>
    </row>
    <row r="5" spans="1:2" x14ac:dyDescent="0.3">
      <c r="A5" t="s">
        <v>31</v>
      </c>
      <c r="B5" s="13">
        <v>0.5</v>
      </c>
    </row>
    <row r="6" spans="1:2" x14ac:dyDescent="0.3">
      <c r="A6" t="s">
        <v>32</v>
      </c>
      <c r="B6" s="13">
        <v>0.25</v>
      </c>
    </row>
    <row r="7" spans="1:2" x14ac:dyDescent="0.3">
      <c r="A7" t="s">
        <v>33</v>
      </c>
      <c r="B7" s="13">
        <v>0</v>
      </c>
    </row>
    <row r="8" spans="1:2" x14ac:dyDescent="0.3">
      <c r="A8">
        <v>0.95</v>
      </c>
      <c r="B8" s="13">
        <f>A8</f>
        <v>0.95</v>
      </c>
    </row>
    <row r="9" spans="1:2" x14ac:dyDescent="0.3">
      <c r="A9">
        <v>0.9</v>
      </c>
      <c r="B9" s="13">
        <f t="shared" ref="B9:B23" si="0">A9</f>
        <v>0.9</v>
      </c>
    </row>
    <row r="10" spans="1:2" x14ac:dyDescent="0.3">
      <c r="A10">
        <v>0.85</v>
      </c>
      <c r="B10" s="13">
        <f t="shared" si="0"/>
        <v>0.85</v>
      </c>
    </row>
    <row r="11" spans="1:2" x14ac:dyDescent="0.3">
      <c r="A11">
        <v>0.8</v>
      </c>
      <c r="B11" s="13">
        <f t="shared" si="0"/>
        <v>0.8</v>
      </c>
    </row>
    <row r="12" spans="1:2" x14ac:dyDescent="0.3">
      <c r="A12">
        <v>0.7</v>
      </c>
      <c r="B12" s="13">
        <f t="shared" si="0"/>
        <v>0.7</v>
      </c>
    </row>
    <row r="13" spans="1:2" x14ac:dyDescent="0.3">
      <c r="A13">
        <v>0.65</v>
      </c>
      <c r="B13" s="13">
        <f t="shared" si="0"/>
        <v>0.65</v>
      </c>
    </row>
    <row r="14" spans="1:2" x14ac:dyDescent="0.3">
      <c r="A14">
        <v>0.6</v>
      </c>
      <c r="B14" s="13">
        <f t="shared" si="0"/>
        <v>0.6</v>
      </c>
    </row>
    <row r="15" spans="1:2" x14ac:dyDescent="0.3">
      <c r="A15">
        <v>0.55000000000000104</v>
      </c>
      <c r="B15" s="13">
        <f t="shared" si="0"/>
        <v>0.55000000000000104</v>
      </c>
    </row>
    <row r="16" spans="1:2" x14ac:dyDescent="0.3">
      <c r="A16">
        <v>0.45000000000000101</v>
      </c>
      <c r="B16" s="13">
        <f t="shared" si="0"/>
        <v>0.45000000000000101</v>
      </c>
    </row>
    <row r="17" spans="1:2" x14ac:dyDescent="0.3">
      <c r="A17">
        <v>0.40000000000000102</v>
      </c>
      <c r="B17" s="13">
        <f t="shared" si="0"/>
        <v>0.40000000000000102</v>
      </c>
    </row>
    <row r="18" spans="1:2" x14ac:dyDescent="0.3">
      <c r="A18">
        <v>0.35000000000000098</v>
      </c>
      <c r="B18" s="13">
        <f t="shared" si="0"/>
        <v>0.35000000000000098</v>
      </c>
    </row>
    <row r="19" spans="1:2" x14ac:dyDescent="0.3">
      <c r="A19">
        <v>0.30000000000000099</v>
      </c>
      <c r="B19" s="13">
        <f t="shared" si="0"/>
        <v>0.30000000000000099</v>
      </c>
    </row>
    <row r="20" spans="1:2" x14ac:dyDescent="0.3">
      <c r="A20">
        <v>0.20000000000000101</v>
      </c>
      <c r="B20" s="13">
        <f t="shared" si="0"/>
        <v>0.20000000000000101</v>
      </c>
    </row>
    <row r="21" spans="1:2" x14ac:dyDescent="0.3">
      <c r="A21">
        <v>0.15000000000000099</v>
      </c>
      <c r="B21" s="13">
        <f t="shared" si="0"/>
        <v>0.15000000000000099</v>
      </c>
    </row>
    <row r="22" spans="1:2" x14ac:dyDescent="0.3">
      <c r="A22">
        <v>0.100000000000001</v>
      </c>
      <c r="B22" s="13">
        <f t="shared" si="0"/>
        <v>0.100000000000001</v>
      </c>
    </row>
    <row r="23" spans="1:2" x14ac:dyDescent="0.3">
      <c r="A23">
        <v>5.0000000000000898E-2</v>
      </c>
      <c r="B23" s="13">
        <f t="shared" si="0"/>
        <v>5.0000000000000898E-2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Grade</vt:lpstr>
      <vt:lpstr>Raw</vt:lpstr>
    </vt:vector>
  </TitlesOfParts>
  <Company>The University of Newcastle, Australia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testuser1</dc:creator>
  <cp:lastModifiedBy>Adrian Tan</cp:lastModifiedBy>
  <dcterms:created xsi:type="dcterms:W3CDTF">2019-03-06T00:38:47Z</dcterms:created>
  <dcterms:modified xsi:type="dcterms:W3CDTF">2026-03-04T19:25:41Z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cb323ff5-bfba-4daf-a33b-c1ec207705ea</vt:lpwstr>
  </property>
</Properties>
</file>